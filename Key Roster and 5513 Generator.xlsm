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enneth.j.rau5.mil\Desktop\Key Control\"/>
    </mc:Choice>
  </mc:AlternateContent>
  <bookViews>
    <workbookView xWindow="0" yWindow="480" windowWidth="0" windowHeight="240" activeTab="1"/>
  </bookViews>
  <sheets>
    <sheet name="Instructions" sheetId="2" r:id="rId1"/>
    <sheet name="Data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F9" i="1" l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8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8" i="1"/>
</calcChain>
</file>

<file path=xl/sharedStrings.xml><?xml version="1.0" encoding="utf-8"?>
<sst xmlns="http://schemas.openxmlformats.org/spreadsheetml/2006/main" count="83" uniqueCount="80">
  <si>
    <t>SN:</t>
  </si>
  <si>
    <t>QTY:</t>
  </si>
  <si>
    <t>DA5513 Write in:</t>
  </si>
  <si>
    <t>MJ1004</t>
  </si>
  <si>
    <t>M0430</t>
  </si>
  <si>
    <t>MJ25497</t>
  </si>
  <si>
    <t>MJ839</t>
  </si>
  <si>
    <t>MJ32370</t>
  </si>
  <si>
    <t>MJ31969</t>
  </si>
  <si>
    <t>MJ269</t>
  </si>
  <si>
    <t>MJ853</t>
  </si>
  <si>
    <t>MJ898</t>
  </si>
  <si>
    <t>MJ889</t>
  </si>
  <si>
    <t>MJ29565</t>
  </si>
  <si>
    <t>MJ1037</t>
  </si>
  <si>
    <t>MJ1059</t>
  </si>
  <si>
    <t>MJ22914</t>
  </si>
  <si>
    <t>M119</t>
  </si>
  <si>
    <t>M118</t>
  </si>
  <si>
    <t>M103</t>
  </si>
  <si>
    <t>M104</t>
  </si>
  <si>
    <t>M133</t>
  </si>
  <si>
    <t>M102</t>
  </si>
  <si>
    <t>MJ1034</t>
  </si>
  <si>
    <t>HG3-5</t>
  </si>
  <si>
    <t>HG3-6</t>
  </si>
  <si>
    <t>HG3-7</t>
  </si>
  <si>
    <t>MJ22806</t>
  </si>
  <si>
    <t>MJ33535</t>
  </si>
  <si>
    <t>MJ29797</t>
  </si>
  <si>
    <t>MJ28479</t>
  </si>
  <si>
    <t>MJ22852</t>
  </si>
  <si>
    <t>D201 BII</t>
  </si>
  <si>
    <t>D202 BII</t>
  </si>
  <si>
    <t>D203 BII</t>
  </si>
  <si>
    <t>D204 BII</t>
  </si>
  <si>
    <t>D205 BII</t>
  </si>
  <si>
    <t>QUADCON 2248</t>
  </si>
  <si>
    <t>TRICON 1082</t>
  </si>
  <si>
    <t>TRICON 0278</t>
  </si>
  <si>
    <t>DOGHOUSE 45</t>
  </si>
  <si>
    <t>DOGHOUSE 47</t>
  </si>
  <si>
    <t>WIRE LOCK</t>
  </si>
  <si>
    <t>C5 RAMP</t>
  </si>
  <si>
    <t>CABINET 1</t>
  </si>
  <si>
    <t>CABINET 2</t>
  </si>
  <si>
    <t>CABINET 3</t>
  </si>
  <si>
    <t>DESK CABINET 1</t>
  </si>
  <si>
    <t>DESK CABINET 2</t>
  </si>
  <si>
    <t>DESK CABINET 3</t>
  </si>
  <si>
    <t>DESK CABINET 4</t>
  </si>
  <si>
    <t>DESK CABINET 5</t>
  </si>
  <si>
    <t>DESK CABINET 6</t>
  </si>
  <si>
    <t>CAGE / AFL</t>
  </si>
  <si>
    <t>GYM IN A BOX</t>
  </si>
  <si>
    <t>OFFICE 109A</t>
  </si>
  <si>
    <t>OFFICE 110A</t>
  </si>
  <si>
    <t>OFFICE 111A</t>
  </si>
  <si>
    <t>D201 DOOR KEY</t>
  </si>
  <si>
    <t>D202 DOOR KEY</t>
  </si>
  <si>
    <t>D203 DOOR KEY</t>
  </si>
  <si>
    <t>D204 DOOR KEY</t>
  </si>
  <si>
    <t>M4 DUMMY LOCKER</t>
  </si>
  <si>
    <t>KEY BOX</t>
  </si>
  <si>
    <t>PDF Template:</t>
  </si>
  <si>
    <t>C:\Users\kenneth.j.rau5.mil\Desktop\Key Control\DA 5513 Blank.pdf</t>
  </si>
  <si>
    <t>C:\Users\kenneth.j.rau5.mil\Desktop\Key Control</t>
  </si>
  <si>
    <t>Name:</t>
  </si>
  <si>
    <t>Key Number:</t>
  </si>
  <si>
    <t xml:space="preserve">Unit/Activity: </t>
  </si>
  <si>
    <t>Airframe Repair Platoon, Delta Troop, 6-6 Cavalry Squadron, 10th CAB, Building 2074, Office 109A</t>
  </si>
  <si>
    <t xml:space="preserve">From: </t>
  </si>
  <si>
    <t>To:</t>
  </si>
  <si>
    <t>13MAR22</t>
  </si>
  <si>
    <t>Toolbox 1</t>
  </si>
  <si>
    <t>Steps:</t>
  </si>
  <si>
    <t xml:space="preserve">1). </t>
  </si>
  <si>
    <t>Saved PDF Folder:</t>
  </si>
  <si>
    <t>Saved PDF Name:</t>
  </si>
  <si>
    <t>DA5513_ARP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</si>
</sst>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5" fontId="0" fillId="0" borderId="0" xfId="0" applyNumberFormat="1"/>
    <xf numFmtId="0" fontId="1" fillId="0" borderId="4" xfId="0" applyFont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3" xfId="0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3" borderId="0" xfId="0" applyFill="1"/>
    <xf numFmtId="49" fontId="0" fillId="2" borderId="8" xfId="0" applyNumberFormat="1" applyFill="1" applyBorder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4" borderId="3" xfId="0" applyFill="1" applyBorder="1" applyAlignment="1">
      <alignment horizontal="left" vertic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1" fillId="0" borderId="3" xfId="0" applyFont="1" applyFill="1" applyBorder="1"/>
    <xf numFmtId="0" fontId="0" fillId="2" borderId="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266700</xdr:colOff>
      <xdr:row>8</xdr:row>
      <xdr:rowOff>28575</xdr:rowOff>
    </xdr:from>
    <xdr:to>
      <xdr:col>8</xdr:col>
      <xdr:colOff>342900</xdr:colOff>
      <xdr:row>10</xdr:row>
      <xdr:rowOff>171450</xdr:rowOff>
    </xdr:to>
    <xdr:sp macro="[0]!CreatePDFForms" textlink="">
      <xdr:nvSpPr>
        <xdr:cNvPr id="4" name="Rectangle 3"/>
        <xdr:cNvSpPr/>
      </xdr:nvSpPr>
      <xdr:spPr>
        <a:xfrm>
          <a:off x="5800725" y="1819275"/>
          <a:ext cx="1304925" cy="52387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</a:rPr>
            <a:t>Create a DA Form 5513</a:t>
          </a:r>
        </a:p>
      </xdr:txBody>
    </xdr:sp>
    <xdr:clientData/>
  </xdr:twoCellAnchor>
  <xdr:twoCellAnchor>
    <xdr:from>
      <xdr:col>6</xdr:col>
      <xdr:colOff>276225</xdr:colOff>
      <xdr:row>12</xdr:row>
      <xdr:rowOff>38100</xdr:rowOff>
    </xdr:from>
    <xdr:to>
      <xdr:col>8</xdr:col>
      <xdr:colOff>352425</xdr:colOff>
      <xdr:row>14</xdr:row>
      <xdr:rowOff>180975</xdr:rowOff>
    </xdr:to>
    <xdr:sp macro="[0]!CreatePDFForms" textlink="">
      <xdr:nvSpPr>
        <xdr:cNvPr id="7" name="Rectangle 6"/>
        <xdr:cNvSpPr/>
      </xdr:nvSpPr>
      <xdr:spPr>
        <a:xfrm>
          <a:off x="5991225" y="2590800"/>
          <a:ext cx="1304925" cy="52387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</a:rPr>
            <a:t>Create Long Term Key Issue </a:t>
          </a:r>
        </a:p>
      </xdr:txBody>
    </xdr:sp>
    <xdr:clientData/>
  </xdr:twoCellAnchor>
  <xdr:twoCellAnchor>
    <xdr:from>
      <xdr:col>2</xdr:col>
      <xdr:colOff>19050</xdr:colOff>
      <xdr:row>1</xdr:row>
      <xdr:rowOff>9525</xdr:rowOff>
    </xdr:from>
    <xdr:to>
      <xdr:col>3</xdr:col>
      <xdr:colOff>0</xdr:colOff>
      <xdr:row>1</xdr:row>
      <xdr:rowOff>276225</xdr:rowOff>
    </xdr:to>
    <xdr:sp macro="[0]!PDFTemplate" textlink="">
      <xdr:nvSpPr>
        <xdr:cNvPr id="5" name="Rectangle 4"/>
        <xdr:cNvSpPr/>
      </xdr:nvSpPr>
      <xdr:spPr>
        <a:xfrm>
          <a:off x="1485900" y="209550"/>
          <a:ext cx="1162050" cy="2667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1). Browse For File</a:t>
          </a:r>
        </a:p>
      </xdr:txBody>
    </xdr:sp>
    <xdr:clientData/>
  </xdr:twoCellAnchor>
  <xdr:twoCellAnchor>
    <xdr:from>
      <xdr:col>2</xdr:col>
      <xdr:colOff>19050</xdr:colOff>
      <xdr:row>2</xdr:row>
      <xdr:rowOff>19050</xdr:rowOff>
    </xdr:from>
    <xdr:to>
      <xdr:col>3</xdr:col>
      <xdr:colOff>0</xdr:colOff>
      <xdr:row>3</xdr:row>
      <xdr:rowOff>0</xdr:rowOff>
    </xdr:to>
    <xdr:sp macro="[0]!SavePDFFolder" textlink="">
      <xdr:nvSpPr>
        <xdr:cNvPr id="10" name="Rectangle 9"/>
        <xdr:cNvSpPr/>
      </xdr:nvSpPr>
      <xdr:spPr>
        <a:xfrm>
          <a:off x="1485900" y="504825"/>
          <a:ext cx="1285875" cy="2667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2). Browse For Folder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B5"/>
  <sheetViews>
    <sheetView workbookViewId="0">
      <selection activeCell="C5" sqref="C5"/>
    </sheetView>
  </sheetViews>
  <sheetFormatPr defaultRowHeight="15" x14ac:dyDescent="0.25"/>
  <sheetData>
    <row r="3" spans="2:2" x14ac:dyDescent="0.25">
      <c r="B3" t="s">
        <v>75</v>
      </c>
    </row>
    <row r="5" spans="2:2" x14ac:dyDescent="0.25">
      <c r="B5" t="s">
        <v>76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11"/>
  <sheetViews>
    <sheetView tabSelected="1" workbookViewId="0">
      <selection activeCell="J4" sqref="J4"/>
    </sheetView>
  </sheetViews>
  <sheetFormatPr defaultRowHeight="15" x14ac:dyDescent="0.25"/>
  <cols>
    <col min="1" max="1" width="6.28515625" customWidth="1"/>
    <col min="2" max="2" width="15.7109375" style="1" customWidth="1"/>
    <col min="3" max="3" width="22.85546875" customWidth="1"/>
    <col min="4" max="4" width="12.85546875" style="1" customWidth="1"/>
    <col min="5" max="5" width="9.140625" style="1" customWidth="1"/>
    <col min="6" max="6" width="24" customWidth="1"/>
    <col min="8" max="8" width="9.28515625" customWidth="1"/>
    <col min="10" max="10" width="9.85546875" bestFit="1" customWidth="1"/>
  </cols>
  <sheetData>
    <row r="1" spans="1:10" ht="15.75" thickBot="1" x14ac:dyDescent="0.3"/>
    <row r="2" spans="1:10" ht="22.5" customHeight="1" thickTop="1" thickBot="1" x14ac:dyDescent="0.3">
      <c r="A2" s="16" t="s">
        <v>64</v>
      </c>
      <c r="B2" s="16"/>
      <c r="C2" s="8"/>
      <c r="D2" s="17" t="s">
        <v>65</v>
      </c>
      <c r="E2" s="17"/>
      <c r="F2" s="17"/>
      <c r="G2" s="17"/>
      <c r="H2" s="17"/>
    </row>
    <row r="3" spans="1:10" ht="22.5" customHeight="1" thickTop="1" thickBot="1" x14ac:dyDescent="0.3">
      <c r="A3" s="16" t="s">
        <v>77</v>
      </c>
      <c r="B3" s="16"/>
      <c r="C3" s="8"/>
      <c r="D3" s="17" t="s">
        <v>66</v>
      </c>
      <c r="E3" s="17"/>
      <c r="F3" s="17"/>
      <c r="G3" s="17"/>
      <c r="H3" s="17"/>
    </row>
    <row r="4" spans="1:10" ht="16.5" thickTop="1" thickBot="1" x14ac:dyDescent="0.3"/>
    <row r="5" spans="1:10" ht="16.5" thickTop="1" thickBot="1" x14ac:dyDescent="0.3">
      <c r="B5" s="7" t="s">
        <v>69</v>
      </c>
      <c r="C5" s="18" t="s">
        <v>70</v>
      </c>
      <c r="D5" s="19"/>
      <c r="E5" s="19"/>
      <c r="F5" s="19"/>
      <c r="G5" s="19"/>
      <c r="H5" s="19"/>
      <c r="I5" s="20"/>
    </row>
    <row r="6" spans="1:10" ht="16.5" thickTop="1" thickBot="1" x14ac:dyDescent="0.3">
      <c r="B6" s="7" t="s">
        <v>71</v>
      </c>
      <c r="C6" s="13" t="s">
        <v>73</v>
      </c>
      <c r="D6" s="11" t="s">
        <v>72</v>
      </c>
      <c r="E6" s="13"/>
      <c r="F6" s="21" t="s">
        <v>78</v>
      </c>
      <c r="G6" s="22" t="s">
        <v>79</v>
      </c>
      <c r="H6" s="22"/>
      <c r="I6" s="22"/>
    </row>
    <row r="7" spans="1:10" ht="15.75" thickTop="1" x14ac:dyDescent="0.25">
      <c r="B7" s="5" t="s">
        <v>68</v>
      </c>
      <c r="C7" s="5" t="s">
        <v>67</v>
      </c>
      <c r="D7" s="5" t="s">
        <v>0</v>
      </c>
      <c r="E7" s="5" t="s">
        <v>1</v>
      </c>
      <c r="F7" s="6" t="s">
        <v>2</v>
      </c>
      <c r="G7" s="12"/>
      <c r="H7" s="12"/>
      <c r="I7" s="12"/>
    </row>
    <row r="8" spans="1:10" x14ac:dyDescent="0.25">
      <c r="B8" s="2">
        <v>1</v>
      </c>
      <c r="C8" s="9" t="str">
        <f>"Toolbox " &amp; B8</f>
        <v>Toolbox 1</v>
      </c>
      <c r="D8" s="10">
        <v>6098</v>
      </c>
      <c r="E8" s="10">
        <v>2</v>
      </c>
      <c r="F8" s="3" t="str">
        <f>IF(C8 &lt;&gt; "","SN: " &amp;D8 &amp; ", " &amp;"QTY: " &amp;E8, "")</f>
        <v>SN: 6098, QTY: 2</v>
      </c>
      <c r="G8" s="12"/>
      <c r="H8" s="12"/>
      <c r="I8" s="12"/>
    </row>
    <row r="9" spans="1:10" x14ac:dyDescent="0.25">
      <c r="B9" s="2">
        <v>2</v>
      </c>
      <c r="C9" s="9" t="str">
        <f t="shared" ref="C9:C37" si="0">"Toolbox " &amp; B9</f>
        <v>Toolbox 2</v>
      </c>
      <c r="D9" s="10">
        <v>5241</v>
      </c>
      <c r="E9" s="10">
        <v>2</v>
      </c>
      <c r="F9" s="3" t="str">
        <f t="shared" ref="F9:F72" si="1">IF(C9 &lt;&gt; "","SN: " &amp;D9 &amp; ", " &amp;"QTY: " &amp;E9, "")</f>
        <v>SN: 5241, QTY: 2</v>
      </c>
      <c r="G9" s="12"/>
      <c r="H9" s="12"/>
      <c r="I9" s="12"/>
    </row>
    <row r="10" spans="1:10" x14ac:dyDescent="0.25">
      <c r="B10" s="2">
        <v>3</v>
      </c>
      <c r="C10" s="9" t="str">
        <f t="shared" si="0"/>
        <v>Toolbox 3</v>
      </c>
      <c r="D10" s="10">
        <v>6194</v>
      </c>
      <c r="E10" s="10">
        <v>1</v>
      </c>
      <c r="F10" s="3" t="str">
        <f t="shared" si="1"/>
        <v>SN: 6194, QTY: 1</v>
      </c>
      <c r="G10" s="14"/>
      <c r="H10" s="15"/>
      <c r="I10" s="15"/>
    </row>
    <row r="11" spans="1:10" x14ac:dyDescent="0.25">
      <c r="B11" s="2">
        <v>4</v>
      </c>
      <c r="C11" s="9" t="str">
        <f t="shared" si="0"/>
        <v>Toolbox 4</v>
      </c>
      <c r="D11" s="10">
        <v>6080</v>
      </c>
      <c r="E11" s="10">
        <v>1</v>
      </c>
      <c r="F11" s="3" t="str">
        <f t="shared" si="1"/>
        <v>SN: 6080, QTY: 1</v>
      </c>
      <c r="G11" s="14"/>
      <c r="H11" s="15"/>
      <c r="I11" s="15"/>
      <c r="J11" s="4"/>
    </row>
    <row r="12" spans="1:10" x14ac:dyDescent="0.25">
      <c r="B12" s="2">
        <v>5</v>
      </c>
      <c r="C12" s="9" t="str">
        <f t="shared" si="0"/>
        <v>Toolbox 5</v>
      </c>
      <c r="D12" s="10">
        <v>5206</v>
      </c>
      <c r="E12" s="10">
        <v>2</v>
      </c>
      <c r="F12" s="3" t="str">
        <f t="shared" si="1"/>
        <v>SN: 5206, QTY: 2</v>
      </c>
      <c r="G12" s="12" t="s">
        <v>74</v>
      </c>
      <c r="H12" s="12"/>
      <c r="I12" s="12"/>
    </row>
    <row r="13" spans="1:10" x14ac:dyDescent="0.25">
      <c r="B13" s="2">
        <v>6</v>
      </c>
      <c r="C13" s="9" t="str">
        <f t="shared" si="0"/>
        <v>Toolbox 6</v>
      </c>
      <c r="D13" s="10" t="s">
        <v>3</v>
      </c>
      <c r="E13" s="10">
        <v>2</v>
      </c>
      <c r="F13" s="3" t="str">
        <f t="shared" si="1"/>
        <v>SN: MJ1004, QTY: 2</v>
      </c>
      <c r="G13" s="12"/>
      <c r="H13" s="12"/>
      <c r="I13" s="12"/>
    </row>
    <row r="14" spans="1:10" x14ac:dyDescent="0.25">
      <c r="B14" s="2">
        <v>7</v>
      </c>
      <c r="C14" s="9" t="str">
        <f t="shared" si="0"/>
        <v>Toolbox 7</v>
      </c>
      <c r="D14" s="10">
        <v>5220</v>
      </c>
      <c r="E14" s="10">
        <v>2</v>
      </c>
      <c r="F14" s="3" t="str">
        <f t="shared" si="1"/>
        <v>SN: 5220, QTY: 2</v>
      </c>
      <c r="G14" s="12"/>
      <c r="H14" s="12"/>
      <c r="I14" s="12"/>
    </row>
    <row r="15" spans="1:10" x14ac:dyDescent="0.25">
      <c r="B15" s="2">
        <v>8</v>
      </c>
      <c r="C15" s="9" t="str">
        <f t="shared" si="0"/>
        <v>Toolbox 8</v>
      </c>
      <c r="D15" s="10">
        <v>5223</v>
      </c>
      <c r="E15" s="10">
        <v>2</v>
      </c>
      <c r="F15" s="3" t="str">
        <f t="shared" si="1"/>
        <v>SN: 5223, QTY: 2</v>
      </c>
      <c r="G15" s="12"/>
      <c r="H15" s="12"/>
      <c r="I15" s="12"/>
    </row>
    <row r="16" spans="1:10" x14ac:dyDescent="0.25">
      <c r="B16" s="2">
        <v>9</v>
      </c>
      <c r="C16" s="9" t="str">
        <f t="shared" si="0"/>
        <v>Toolbox 9</v>
      </c>
      <c r="D16" s="10" t="s">
        <v>4</v>
      </c>
      <c r="E16" s="10">
        <v>1</v>
      </c>
      <c r="F16" s="3" t="str">
        <f t="shared" si="1"/>
        <v>SN: M0430, QTY: 1</v>
      </c>
      <c r="G16" s="12"/>
      <c r="H16" s="12"/>
      <c r="I16" s="12"/>
    </row>
    <row r="17" spans="2:9" x14ac:dyDescent="0.25">
      <c r="B17" s="2">
        <v>10</v>
      </c>
      <c r="C17" s="9" t="str">
        <f t="shared" si="0"/>
        <v>Toolbox 10</v>
      </c>
      <c r="D17" s="10" t="s">
        <v>5</v>
      </c>
      <c r="E17" s="10">
        <v>1</v>
      </c>
      <c r="F17" s="3" t="str">
        <f t="shared" si="1"/>
        <v>SN: MJ25497, QTY: 1</v>
      </c>
      <c r="G17" s="12"/>
      <c r="H17" s="12"/>
      <c r="I17" s="12"/>
    </row>
    <row r="18" spans="2:9" x14ac:dyDescent="0.25">
      <c r="B18" s="2">
        <v>11</v>
      </c>
      <c r="C18" s="9" t="str">
        <f t="shared" si="0"/>
        <v>Toolbox 11</v>
      </c>
      <c r="D18" s="10">
        <v>6724</v>
      </c>
      <c r="E18" s="10">
        <v>1</v>
      </c>
      <c r="F18" s="3" t="str">
        <f t="shared" si="1"/>
        <v>SN: 6724, QTY: 1</v>
      </c>
      <c r="G18" s="12"/>
      <c r="H18" s="12"/>
      <c r="I18" s="12"/>
    </row>
    <row r="19" spans="2:9" x14ac:dyDescent="0.25">
      <c r="B19" s="2">
        <v>12</v>
      </c>
      <c r="C19" s="9" t="str">
        <f t="shared" si="0"/>
        <v>Toolbox 12</v>
      </c>
      <c r="D19" s="10">
        <v>6089</v>
      </c>
      <c r="E19" s="10">
        <v>2</v>
      </c>
      <c r="F19" s="3" t="str">
        <f t="shared" si="1"/>
        <v>SN: 6089, QTY: 2</v>
      </c>
      <c r="G19" s="12"/>
      <c r="H19" s="12"/>
      <c r="I19" s="12"/>
    </row>
    <row r="20" spans="2:9" x14ac:dyDescent="0.25">
      <c r="B20" s="2">
        <v>13</v>
      </c>
      <c r="C20" s="9" t="str">
        <f t="shared" si="0"/>
        <v>Toolbox 13</v>
      </c>
      <c r="D20" s="10">
        <v>6183</v>
      </c>
      <c r="E20" s="10">
        <v>2</v>
      </c>
      <c r="F20" s="3" t="str">
        <f t="shared" si="1"/>
        <v>SN: 6183, QTY: 2</v>
      </c>
      <c r="G20" s="12"/>
      <c r="H20" s="12"/>
      <c r="I20" s="12"/>
    </row>
    <row r="21" spans="2:9" x14ac:dyDescent="0.25">
      <c r="B21" s="2">
        <v>14</v>
      </c>
      <c r="C21" s="9" t="str">
        <f t="shared" si="0"/>
        <v>Toolbox 14</v>
      </c>
      <c r="D21" s="10" t="s">
        <v>6</v>
      </c>
      <c r="E21" s="10">
        <v>1</v>
      </c>
      <c r="F21" s="3" t="str">
        <f t="shared" si="1"/>
        <v>SN: MJ839, QTY: 1</v>
      </c>
      <c r="G21" s="12"/>
      <c r="H21" s="12"/>
      <c r="I21" s="12"/>
    </row>
    <row r="22" spans="2:9" x14ac:dyDescent="0.25">
      <c r="B22" s="2">
        <v>15</v>
      </c>
      <c r="C22" s="9" t="str">
        <f t="shared" si="0"/>
        <v>Toolbox 15</v>
      </c>
      <c r="D22" s="10">
        <v>5239</v>
      </c>
      <c r="E22" s="10">
        <v>1</v>
      </c>
      <c r="F22" s="3" t="str">
        <f t="shared" si="1"/>
        <v>SN: 5239, QTY: 1</v>
      </c>
      <c r="G22" s="12"/>
      <c r="H22" s="12"/>
      <c r="I22" s="12"/>
    </row>
    <row r="23" spans="2:9" x14ac:dyDescent="0.25">
      <c r="B23" s="2">
        <v>16</v>
      </c>
      <c r="C23" s="9" t="str">
        <f t="shared" si="0"/>
        <v>Toolbox 16</v>
      </c>
      <c r="D23" s="10">
        <v>5245</v>
      </c>
      <c r="E23" s="10">
        <v>2</v>
      </c>
      <c r="F23" s="3" t="str">
        <f t="shared" si="1"/>
        <v>SN: 5245, QTY: 2</v>
      </c>
      <c r="G23" s="12"/>
      <c r="H23" s="12"/>
      <c r="I23" s="12"/>
    </row>
    <row r="24" spans="2:9" x14ac:dyDescent="0.25">
      <c r="B24" s="2">
        <v>17</v>
      </c>
      <c r="C24" s="9" t="str">
        <f t="shared" si="0"/>
        <v>Toolbox 17</v>
      </c>
      <c r="D24" s="10">
        <v>4950</v>
      </c>
      <c r="E24" s="10">
        <v>2</v>
      </c>
      <c r="F24" s="3" t="str">
        <f t="shared" si="1"/>
        <v>SN: 4950, QTY: 2</v>
      </c>
      <c r="G24" s="12"/>
      <c r="H24" s="12"/>
      <c r="I24" s="12"/>
    </row>
    <row r="25" spans="2:9" x14ac:dyDescent="0.25">
      <c r="B25" s="2">
        <v>18</v>
      </c>
      <c r="C25" s="9" t="str">
        <f t="shared" si="0"/>
        <v>Toolbox 18</v>
      </c>
      <c r="D25" s="10">
        <v>5213</v>
      </c>
      <c r="E25" s="10">
        <v>2</v>
      </c>
      <c r="F25" s="3" t="str">
        <f t="shared" si="1"/>
        <v>SN: 5213, QTY: 2</v>
      </c>
      <c r="G25" s="12"/>
      <c r="H25" s="12"/>
      <c r="I25" s="12"/>
    </row>
    <row r="26" spans="2:9" x14ac:dyDescent="0.25">
      <c r="B26" s="2">
        <v>19</v>
      </c>
      <c r="C26" s="9" t="str">
        <f t="shared" si="0"/>
        <v>Toolbox 19</v>
      </c>
      <c r="D26" s="10">
        <v>5215</v>
      </c>
      <c r="E26" s="10">
        <v>2</v>
      </c>
      <c r="F26" s="3" t="str">
        <f t="shared" si="1"/>
        <v>SN: 5215, QTY: 2</v>
      </c>
      <c r="G26" s="12"/>
      <c r="H26" s="12"/>
      <c r="I26" s="12"/>
    </row>
    <row r="27" spans="2:9" x14ac:dyDescent="0.25">
      <c r="B27" s="2">
        <v>20</v>
      </c>
      <c r="C27" s="9" t="str">
        <f t="shared" si="0"/>
        <v>Toolbox 20</v>
      </c>
      <c r="D27" s="10">
        <v>5203</v>
      </c>
      <c r="E27" s="10">
        <v>2</v>
      </c>
      <c r="F27" s="3" t="str">
        <f t="shared" si="1"/>
        <v>SN: 5203, QTY: 2</v>
      </c>
      <c r="G27" s="12"/>
      <c r="H27" s="12"/>
      <c r="I27" s="12"/>
    </row>
    <row r="28" spans="2:9" x14ac:dyDescent="0.25">
      <c r="B28" s="2">
        <v>21</v>
      </c>
      <c r="C28" s="9" t="str">
        <f t="shared" si="0"/>
        <v>Toolbox 21</v>
      </c>
      <c r="D28" s="10" t="s">
        <v>7</v>
      </c>
      <c r="E28" s="10">
        <v>1</v>
      </c>
      <c r="F28" s="3" t="str">
        <f t="shared" si="1"/>
        <v>SN: MJ32370, QTY: 1</v>
      </c>
      <c r="G28" s="12"/>
      <c r="H28" s="12"/>
      <c r="I28" s="12"/>
    </row>
    <row r="29" spans="2:9" x14ac:dyDescent="0.25">
      <c r="B29" s="2">
        <v>22</v>
      </c>
      <c r="C29" s="9" t="str">
        <f t="shared" si="0"/>
        <v>Toolbox 22</v>
      </c>
      <c r="D29" s="10">
        <v>5244</v>
      </c>
      <c r="E29" s="10">
        <v>2</v>
      </c>
      <c r="F29" s="3" t="str">
        <f t="shared" si="1"/>
        <v>SN: 5244, QTY: 2</v>
      </c>
      <c r="G29" s="12"/>
      <c r="H29" s="12"/>
      <c r="I29" s="12"/>
    </row>
    <row r="30" spans="2:9" x14ac:dyDescent="0.25">
      <c r="B30" s="2">
        <v>23</v>
      </c>
      <c r="C30" s="9" t="str">
        <f t="shared" si="0"/>
        <v>Toolbox 23</v>
      </c>
      <c r="D30" s="10">
        <v>6186</v>
      </c>
      <c r="E30" s="10">
        <v>1</v>
      </c>
      <c r="F30" s="3" t="str">
        <f t="shared" si="1"/>
        <v>SN: 6186, QTY: 1</v>
      </c>
      <c r="G30" s="12"/>
      <c r="H30" s="12"/>
      <c r="I30" s="12"/>
    </row>
    <row r="31" spans="2:9" x14ac:dyDescent="0.25">
      <c r="B31" s="2">
        <v>24</v>
      </c>
      <c r="C31" s="9" t="str">
        <f t="shared" si="0"/>
        <v>Toolbox 24</v>
      </c>
      <c r="D31" s="10">
        <v>5246</v>
      </c>
      <c r="E31" s="10">
        <v>2</v>
      </c>
      <c r="F31" s="3" t="str">
        <f t="shared" si="1"/>
        <v>SN: 5246, QTY: 2</v>
      </c>
      <c r="G31" s="12"/>
      <c r="H31" s="12"/>
      <c r="I31" s="12"/>
    </row>
    <row r="32" spans="2:9" x14ac:dyDescent="0.25">
      <c r="B32" s="2">
        <v>25</v>
      </c>
      <c r="C32" s="9" t="str">
        <f t="shared" si="0"/>
        <v>Toolbox 25</v>
      </c>
      <c r="D32" s="10">
        <v>5242</v>
      </c>
      <c r="E32" s="10">
        <v>2</v>
      </c>
      <c r="F32" s="3" t="str">
        <f t="shared" si="1"/>
        <v>SN: 5242, QTY: 2</v>
      </c>
      <c r="G32" s="12"/>
      <c r="H32" s="12"/>
      <c r="I32" s="12"/>
    </row>
    <row r="33" spans="2:9" x14ac:dyDescent="0.25">
      <c r="B33" s="2">
        <v>26</v>
      </c>
      <c r="C33" s="9" t="str">
        <f t="shared" si="0"/>
        <v>Toolbox 26</v>
      </c>
      <c r="D33" s="10">
        <v>6167</v>
      </c>
      <c r="E33" s="10">
        <v>2</v>
      </c>
      <c r="F33" s="3" t="str">
        <f t="shared" si="1"/>
        <v>SN: 6167, QTY: 2</v>
      </c>
      <c r="G33" s="12"/>
      <c r="H33" s="12"/>
      <c r="I33" s="12"/>
    </row>
    <row r="34" spans="2:9" x14ac:dyDescent="0.25">
      <c r="B34" s="2">
        <v>27</v>
      </c>
      <c r="C34" s="9" t="str">
        <f t="shared" si="0"/>
        <v>Toolbox 27</v>
      </c>
      <c r="D34" s="10">
        <v>5233</v>
      </c>
      <c r="E34" s="10">
        <v>2</v>
      </c>
      <c r="F34" s="3" t="str">
        <f t="shared" si="1"/>
        <v>SN: 5233, QTY: 2</v>
      </c>
      <c r="G34" s="12"/>
      <c r="H34" s="12"/>
      <c r="I34" s="12"/>
    </row>
    <row r="35" spans="2:9" x14ac:dyDescent="0.25">
      <c r="B35" s="2">
        <v>28</v>
      </c>
      <c r="C35" s="9" t="str">
        <f t="shared" si="0"/>
        <v>Toolbox 28</v>
      </c>
      <c r="D35" s="10" t="s">
        <v>8</v>
      </c>
      <c r="E35" s="10">
        <v>1</v>
      </c>
      <c r="F35" s="3" t="str">
        <f t="shared" si="1"/>
        <v>SN: MJ31969, QTY: 1</v>
      </c>
      <c r="G35" s="12"/>
      <c r="H35" s="12"/>
      <c r="I35" s="12"/>
    </row>
    <row r="36" spans="2:9" x14ac:dyDescent="0.25">
      <c r="B36" s="2">
        <v>29</v>
      </c>
      <c r="C36" s="9" t="str">
        <f t="shared" si="0"/>
        <v>Toolbox 29</v>
      </c>
      <c r="D36" s="10">
        <v>5228</v>
      </c>
      <c r="E36" s="10">
        <v>2</v>
      </c>
      <c r="F36" s="3" t="str">
        <f t="shared" si="1"/>
        <v>SN: 5228, QTY: 2</v>
      </c>
      <c r="G36" s="12"/>
      <c r="H36" s="12"/>
      <c r="I36" s="12"/>
    </row>
    <row r="37" spans="2:9" x14ac:dyDescent="0.25">
      <c r="B37" s="2">
        <v>30</v>
      </c>
      <c r="C37" s="9" t="str">
        <f t="shared" si="0"/>
        <v>Toolbox 30</v>
      </c>
      <c r="D37" s="10">
        <v>5216</v>
      </c>
      <c r="E37" s="10">
        <v>2</v>
      </c>
      <c r="F37" s="3" t="str">
        <f t="shared" si="1"/>
        <v>SN: 5216, QTY: 2</v>
      </c>
      <c r="G37" s="12"/>
      <c r="H37" s="12"/>
      <c r="I37" s="12"/>
    </row>
    <row r="38" spans="2:9" x14ac:dyDescent="0.25">
      <c r="B38" s="2">
        <v>31</v>
      </c>
      <c r="C38" s="9" t="s">
        <v>32</v>
      </c>
      <c r="D38" s="10" t="s">
        <v>9</v>
      </c>
      <c r="E38" s="10">
        <v>2</v>
      </c>
      <c r="F38" s="3" t="str">
        <f t="shared" si="1"/>
        <v>SN: MJ269, QTY: 2</v>
      </c>
      <c r="G38" s="12"/>
      <c r="H38" s="12"/>
      <c r="I38" s="12"/>
    </row>
    <row r="39" spans="2:9" x14ac:dyDescent="0.25">
      <c r="B39" s="2">
        <v>32</v>
      </c>
      <c r="C39" s="9" t="s">
        <v>33</v>
      </c>
      <c r="D39" s="10" t="s">
        <v>10</v>
      </c>
      <c r="E39" s="10">
        <v>2</v>
      </c>
      <c r="F39" s="3" t="str">
        <f t="shared" si="1"/>
        <v>SN: MJ853, QTY: 2</v>
      </c>
      <c r="G39" s="12"/>
      <c r="H39" s="12"/>
      <c r="I39" s="12"/>
    </row>
    <row r="40" spans="2:9" x14ac:dyDescent="0.25">
      <c r="B40" s="2">
        <v>33</v>
      </c>
      <c r="C40" s="9" t="s">
        <v>34</v>
      </c>
      <c r="D40" s="10" t="s">
        <v>11</v>
      </c>
      <c r="E40" s="10">
        <v>2</v>
      </c>
      <c r="F40" s="3" t="str">
        <f t="shared" si="1"/>
        <v>SN: MJ898, QTY: 2</v>
      </c>
      <c r="G40" s="12"/>
      <c r="H40" s="12"/>
      <c r="I40" s="12"/>
    </row>
    <row r="41" spans="2:9" x14ac:dyDescent="0.25">
      <c r="B41" s="2">
        <v>34</v>
      </c>
      <c r="C41" s="9" t="s">
        <v>35</v>
      </c>
      <c r="D41" s="10" t="s">
        <v>12</v>
      </c>
      <c r="E41" s="10">
        <v>2</v>
      </c>
      <c r="F41" s="3" t="str">
        <f t="shared" si="1"/>
        <v>SN: MJ889, QTY: 2</v>
      </c>
      <c r="G41" s="12"/>
      <c r="H41" s="12"/>
      <c r="I41" s="12"/>
    </row>
    <row r="42" spans="2:9" x14ac:dyDescent="0.25">
      <c r="B42" s="2">
        <v>35</v>
      </c>
      <c r="C42" s="9" t="s">
        <v>36</v>
      </c>
      <c r="D42" s="10" t="s">
        <v>13</v>
      </c>
      <c r="E42" s="10">
        <v>2</v>
      </c>
      <c r="F42" s="3" t="str">
        <f t="shared" si="1"/>
        <v>SN: MJ29565, QTY: 2</v>
      </c>
      <c r="G42" s="12"/>
      <c r="H42" s="12"/>
      <c r="I42" s="12"/>
    </row>
    <row r="43" spans="2:9" x14ac:dyDescent="0.25">
      <c r="B43" s="2">
        <v>36</v>
      </c>
      <c r="C43" s="9" t="s">
        <v>37</v>
      </c>
      <c r="D43" s="10" t="s">
        <v>14</v>
      </c>
      <c r="E43" s="10">
        <v>2</v>
      </c>
      <c r="F43" s="3" t="str">
        <f t="shared" si="1"/>
        <v>SN: MJ1037, QTY: 2</v>
      </c>
      <c r="G43" s="12"/>
      <c r="H43" s="12"/>
      <c r="I43" s="12"/>
    </row>
    <row r="44" spans="2:9" x14ac:dyDescent="0.25">
      <c r="B44" s="2">
        <v>37</v>
      </c>
      <c r="C44" s="9" t="s">
        <v>38</v>
      </c>
      <c r="D44" s="10">
        <v>75678</v>
      </c>
      <c r="E44" s="10">
        <v>2</v>
      </c>
      <c r="F44" s="3" t="str">
        <f t="shared" si="1"/>
        <v>SN: 75678, QTY: 2</v>
      </c>
      <c r="G44" s="12"/>
      <c r="H44" s="12"/>
      <c r="I44" s="12"/>
    </row>
    <row r="45" spans="2:9" x14ac:dyDescent="0.25">
      <c r="B45" s="2">
        <v>38</v>
      </c>
      <c r="C45" s="9" t="s">
        <v>39</v>
      </c>
      <c r="D45" s="10">
        <v>5227</v>
      </c>
      <c r="E45" s="10">
        <v>2</v>
      </c>
      <c r="F45" s="3" t="str">
        <f t="shared" si="1"/>
        <v>SN: 5227, QTY: 2</v>
      </c>
      <c r="G45" s="12"/>
      <c r="H45" s="12"/>
      <c r="I45" s="12"/>
    </row>
    <row r="46" spans="2:9" x14ac:dyDescent="0.25">
      <c r="B46" s="2">
        <v>39</v>
      </c>
      <c r="C46" s="9" t="s">
        <v>40</v>
      </c>
      <c r="D46" s="10">
        <v>4324</v>
      </c>
      <c r="E46" s="10">
        <v>3</v>
      </c>
      <c r="F46" s="3" t="str">
        <f t="shared" si="1"/>
        <v>SN: 4324, QTY: 3</v>
      </c>
      <c r="G46" s="12"/>
      <c r="H46" s="12"/>
      <c r="I46" s="12"/>
    </row>
    <row r="47" spans="2:9" x14ac:dyDescent="0.25">
      <c r="B47" s="2">
        <v>40</v>
      </c>
      <c r="C47" s="9" t="s">
        <v>41</v>
      </c>
      <c r="D47" s="10">
        <v>6703</v>
      </c>
      <c r="E47" s="10"/>
      <c r="F47" s="3" t="str">
        <f t="shared" si="1"/>
        <v xml:space="preserve">SN: 6703, QTY: </v>
      </c>
      <c r="G47" s="12"/>
      <c r="H47" s="12"/>
      <c r="I47" s="12"/>
    </row>
    <row r="48" spans="2:9" x14ac:dyDescent="0.25">
      <c r="B48" s="2">
        <v>41</v>
      </c>
      <c r="C48" s="9" t="s">
        <v>42</v>
      </c>
      <c r="D48" s="10" t="s">
        <v>15</v>
      </c>
      <c r="E48" s="10">
        <v>2</v>
      </c>
      <c r="F48" s="3" t="str">
        <f t="shared" si="1"/>
        <v>SN: MJ1059, QTY: 2</v>
      </c>
      <c r="G48" s="12"/>
      <c r="H48" s="12"/>
      <c r="I48" s="12"/>
    </row>
    <row r="49" spans="2:9" x14ac:dyDescent="0.25">
      <c r="B49" s="2">
        <v>42</v>
      </c>
      <c r="C49" s="9" t="s">
        <v>43</v>
      </c>
      <c r="D49" s="10" t="s">
        <v>16</v>
      </c>
      <c r="E49" s="10">
        <v>2</v>
      </c>
      <c r="F49" s="3" t="str">
        <f t="shared" si="1"/>
        <v>SN: MJ22914, QTY: 2</v>
      </c>
      <c r="G49" s="12"/>
      <c r="H49" s="12"/>
      <c r="I49" s="12"/>
    </row>
    <row r="50" spans="2:9" x14ac:dyDescent="0.25">
      <c r="B50" s="2">
        <v>43</v>
      </c>
      <c r="C50" s="9" t="s">
        <v>44</v>
      </c>
      <c r="D50" s="10" t="s">
        <v>17</v>
      </c>
      <c r="E50" s="10">
        <v>4</v>
      </c>
      <c r="F50" s="3" t="str">
        <f t="shared" si="1"/>
        <v>SN: M119, QTY: 4</v>
      </c>
      <c r="G50" s="12"/>
      <c r="H50" s="12"/>
      <c r="I50" s="12"/>
    </row>
    <row r="51" spans="2:9" x14ac:dyDescent="0.25">
      <c r="B51" s="2">
        <v>44</v>
      </c>
      <c r="C51" s="9" t="s">
        <v>45</v>
      </c>
      <c r="D51" s="10" t="s">
        <v>18</v>
      </c>
      <c r="E51" s="10">
        <v>3</v>
      </c>
      <c r="F51" s="3" t="str">
        <f t="shared" si="1"/>
        <v>SN: M118, QTY: 3</v>
      </c>
      <c r="G51" s="12"/>
      <c r="H51" s="12"/>
      <c r="I51" s="12"/>
    </row>
    <row r="52" spans="2:9" x14ac:dyDescent="0.25">
      <c r="B52" s="2">
        <v>45</v>
      </c>
      <c r="C52" s="9" t="s">
        <v>46</v>
      </c>
      <c r="D52" s="10" t="s">
        <v>19</v>
      </c>
      <c r="E52" s="10">
        <v>0</v>
      </c>
      <c r="F52" s="3" t="str">
        <f t="shared" si="1"/>
        <v>SN: M103, QTY: 0</v>
      </c>
      <c r="G52" s="12"/>
      <c r="H52" s="12"/>
      <c r="I52" s="12"/>
    </row>
    <row r="53" spans="2:9" x14ac:dyDescent="0.25">
      <c r="B53" s="2">
        <v>46</v>
      </c>
      <c r="C53" s="9" t="s">
        <v>47</v>
      </c>
      <c r="D53" s="10" t="s">
        <v>17</v>
      </c>
      <c r="E53" s="10">
        <v>2</v>
      </c>
      <c r="F53" s="3" t="str">
        <f t="shared" si="1"/>
        <v>SN: M119, QTY: 2</v>
      </c>
      <c r="G53" s="12"/>
      <c r="H53" s="12"/>
      <c r="I53" s="12"/>
    </row>
    <row r="54" spans="2:9" x14ac:dyDescent="0.25">
      <c r="B54" s="2">
        <v>47</v>
      </c>
      <c r="C54" s="9" t="s">
        <v>48</v>
      </c>
      <c r="D54" s="10" t="s">
        <v>18</v>
      </c>
      <c r="E54" s="10">
        <v>3</v>
      </c>
      <c r="F54" s="3" t="str">
        <f t="shared" si="1"/>
        <v>SN: M118, QTY: 3</v>
      </c>
      <c r="G54" s="12"/>
      <c r="H54" s="12"/>
      <c r="I54" s="12"/>
    </row>
    <row r="55" spans="2:9" x14ac:dyDescent="0.25">
      <c r="B55" s="2">
        <v>48</v>
      </c>
      <c r="C55" s="9" t="s">
        <v>49</v>
      </c>
      <c r="D55" s="10" t="s">
        <v>20</v>
      </c>
      <c r="E55" s="10">
        <v>2</v>
      </c>
      <c r="F55" s="3" t="str">
        <f t="shared" si="1"/>
        <v>SN: M104, QTY: 2</v>
      </c>
      <c r="G55" s="12"/>
      <c r="H55" s="12"/>
      <c r="I55" s="12"/>
    </row>
    <row r="56" spans="2:9" x14ac:dyDescent="0.25">
      <c r="B56" s="2">
        <v>49</v>
      </c>
      <c r="C56" s="9" t="s">
        <v>50</v>
      </c>
      <c r="D56" s="10" t="s">
        <v>21</v>
      </c>
      <c r="E56" s="10">
        <v>2</v>
      </c>
      <c r="F56" s="3" t="str">
        <f t="shared" si="1"/>
        <v>SN: M133, QTY: 2</v>
      </c>
      <c r="G56" s="12"/>
      <c r="H56" s="12"/>
      <c r="I56" s="12"/>
    </row>
    <row r="57" spans="2:9" x14ac:dyDescent="0.25">
      <c r="B57" s="2">
        <v>50</v>
      </c>
      <c r="C57" s="9" t="s">
        <v>51</v>
      </c>
      <c r="D57" s="10" t="s">
        <v>22</v>
      </c>
      <c r="E57" s="10">
        <v>2</v>
      </c>
      <c r="F57" s="3" t="str">
        <f t="shared" si="1"/>
        <v>SN: M102, QTY: 2</v>
      </c>
      <c r="G57" s="12"/>
      <c r="H57" s="12"/>
      <c r="I57" s="12"/>
    </row>
    <row r="58" spans="2:9" x14ac:dyDescent="0.25">
      <c r="B58" s="2">
        <v>51</v>
      </c>
      <c r="C58" s="9" t="s">
        <v>52</v>
      </c>
      <c r="D58" s="10" t="s">
        <v>19</v>
      </c>
      <c r="E58" s="10">
        <v>1</v>
      </c>
      <c r="F58" s="3" t="str">
        <f t="shared" si="1"/>
        <v>SN: M103, QTY: 1</v>
      </c>
      <c r="G58" s="12"/>
      <c r="H58" s="12"/>
      <c r="I58" s="12"/>
    </row>
    <row r="59" spans="2:9" x14ac:dyDescent="0.25">
      <c r="B59" s="2">
        <v>52</v>
      </c>
      <c r="C59" s="9" t="s">
        <v>53</v>
      </c>
      <c r="D59" s="10" t="s">
        <v>23</v>
      </c>
      <c r="E59" s="10">
        <v>2</v>
      </c>
      <c r="F59" s="3" t="str">
        <f t="shared" si="1"/>
        <v>SN: MJ1034, QTY: 2</v>
      </c>
      <c r="G59" s="12"/>
      <c r="H59" s="12"/>
      <c r="I59" s="12"/>
    </row>
    <row r="60" spans="2:9" x14ac:dyDescent="0.25">
      <c r="B60" s="2">
        <v>53</v>
      </c>
      <c r="C60" s="9" t="s">
        <v>54</v>
      </c>
      <c r="D60" s="10"/>
      <c r="E60" s="10"/>
      <c r="F60" s="3" t="str">
        <f t="shared" si="1"/>
        <v xml:space="preserve">SN: , QTY: </v>
      </c>
      <c r="G60" s="12"/>
      <c r="H60" s="12"/>
      <c r="I60" s="12"/>
    </row>
    <row r="61" spans="2:9" x14ac:dyDescent="0.25">
      <c r="B61" s="2">
        <v>54</v>
      </c>
      <c r="C61" s="9"/>
      <c r="D61" s="10"/>
      <c r="E61" s="10"/>
      <c r="F61" s="3" t="str">
        <f t="shared" si="1"/>
        <v/>
      </c>
      <c r="G61" s="12"/>
      <c r="H61" s="12"/>
      <c r="I61" s="12"/>
    </row>
    <row r="62" spans="2:9" x14ac:dyDescent="0.25">
      <c r="B62" s="2">
        <v>55</v>
      </c>
      <c r="C62" s="9" t="s">
        <v>55</v>
      </c>
      <c r="D62" s="10" t="s">
        <v>24</v>
      </c>
      <c r="E62" s="10">
        <v>5</v>
      </c>
      <c r="F62" s="3" t="str">
        <f t="shared" si="1"/>
        <v>SN: HG3-5, QTY: 5</v>
      </c>
      <c r="G62" s="12"/>
      <c r="H62" s="12"/>
      <c r="I62" s="12"/>
    </row>
    <row r="63" spans="2:9" x14ac:dyDescent="0.25">
      <c r="B63" s="2">
        <v>56</v>
      </c>
      <c r="C63" s="9" t="s">
        <v>56</v>
      </c>
      <c r="D63" s="10" t="s">
        <v>25</v>
      </c>
      <c r="E63" s="10">
        <v>3</v>
      </c>
      <c r="F63" s="3" t="str">
        <f t="shared" si="1"/>
        <v>SN: HG3-6, QTY: 3</v>
      </c>
      <c r="G63" s="12"/>
      <c r="H63" s="12"/>
      <c r="I63" s="12"/>
    </row>
    <row r="64" spans="2:9" x14ac:dyDescent="0.25">
      <c r="B64" s="2">
        <v>57</v>
      </c>
      <c r="C64" s="9" t="s">
        <v>57</v>
      </c>
      <c r="D64" s="10" t="s">
        <v>26</v>
      </c>
      <c r="E64" s="10">
        <v>2</v>
      </c>
      <c r="F64" s="3" t="str">
        <f t="shared" si="1"/>
        <v>SN: HG3-7, QTY: 2</v>
      </c>
      <c r="G64" s="12"/>
      <c r="H64" s="12"/>
      <c r="I64" s="12"/>
    </row>
    <row r="65" spans="2:9" x14ac:dyDescent="0.25">
      <c r="B65" s="2">
        <v>58</v>
      </c>
      <c r="C65" s="9"/>
      <c r="D65" s="10"/>
      <c r="E65" s="10"/>
      <c r="F65" s="3" t="str">
        <f t="shared" si="1"/>
        <v/>
      </c>
      <c r="G65" s="12"/>
      <c r="H65" s="12"/>
      <c r="I65" s="12"/>
    </row>
    <row r="66" spans="2:9" x14ac:dyDescent="0.25">
      <c r="B66" s="2">
        <v>59</v>
      </c>
      <c r="C66" s="9"/>
      <c r="D66" s="10"/>
      <c r="E66" s="10"/>
      <c r="F66" s="3" t="str">
        <f t="shared" si="1"/>
        <v/>
      </c>
      <c r="G66" s="12"/>
      <c r="H66" s="12"/>
      <c r="I66" s="12"/>
    </row>
    <row r="67" spans="2:9" x14ac:dyDescent="0.25">
      <c r="B67" s="2">
        <v>60</v>
      </c>
      <c r="C67" s="9"/>
      <c r="D67" s="10"/>
      <c r="E67" s="10"/>
      <c r="F67" s="3" t="str">
        <f t="shared" si="1"/>
        <v/>
      </c>
      <c r="G67" s="12"/>
      <c r="H67" s="12"/>
      <c r="I67" s="12"/>
    </row>
    <row r="68" spans="2:9" x14ac:dyDescent="0.25">
      <c r="B68" s="2">
        <v>61</v>
      </c>
      <c r="C68" s="9" t="s">
        <v>58</v>
      </c>
      <c r="D68" s="10" t="s">
        <v>27</v>
      </c>
      <c r="E68" s="10">
        <v>2</v>
      </c>
      <c r="F68" s="3" t="str">
        <f t="shared" si="1"/>
        <v>SN: MJ22806, QTY: 2</v>
      </c>
      <c r="G68" s="12"/>
      <c r="H68" s="12"/>
      <c r="I68" s="12"/>
    </row>
    <row r="69" spans="2:9" x14ac:dyDescent="0.25">
      <c r="B69" s="2">
        <v>62</v>
      </c>
      <c r="C69" s="9" t="s">
        <v>59</v>
      </c>
      <c r="D69" s="10" t="s">
        <v>28</v>
      </c>
      <c r="E69" s="10">
        <v>2</v>
      </c>
      <c r="F69" s="3" t="str">
        <f t="shared" si="1"/>
        <v>SN: MJ33535, QTY: 2</v>
      </c>
      <c r="G69" s="12"/>
      <c r="H69" s="12"/>
      <c r="I69" s="12"/>
    </row>
    <row r="70" spans="2:9" x14ac:dyDescent="0.25">
      <c r="B70" s="2">
        <v>63</v>
      </c>
      <c r="C70" s="9" t="s">
        <v>60</v>
      </c>
      <c r="D70" s="10" t="s">
        <v>29</v>
      </c>
      <c r="E70" s="10">
        <v>2</v>
      </c>
      <c r="F70" s="3" t="str">
        <f t="shared" si="1"/>
        <v>SN: MJ29797, QTY: 2</v>
      </c>
      <c r="G70" s="12"/>
      <c r="H70" s="12"/>
      <c r="I70" s="12"/>
    </row>
    <row r="71" spans="2:9" x14ac:dyDescent="0.25">
      <c r="B71" s="2">
        <v>64</v>
      </c>
      <c r="C71" s="9" t="s">
        <v>61</v>
      </c>
      <c r="D71" s="10" t="s">
        <v>30</v>
      </c>
      <c r="E71" s="10">
        <v>2</v>
      </c>
      <c r="F71" s="3" t="str">
        <f t="shared" si="1"/>
        <v>SN: MJ28479, QTY: 2</v>
      </c>
      <c r="G71" s="12"/>
      <c r="H71" s="12"/>
      <c r="I71" s="12"/>
    </row>
    <row r="72" spans="2:9" x14ac:dyDescent="0.25">
      <c r="B72" s="2">
        <v>65</v>
      </c>
      <c r="C72" s="9" t="s">
        <v>62</v>
      </c>
      <c r="D72" s="10" t="s">
        <v>31</v>
      </c>
      <c r="E72" s="10">
        <v>2</v>
      </c>
      <c r="F72" s="3" t="str">
        <f t="shared" si="1"/>
        <v>SN: MJ22852, QTY: 2</v>
      </c>
      <c r="G72" s="12"/>
      <c r="H72" s="12"/>
      <c r="I72" s="12"/>
    </row>
    <row r="73" spans="2:9" x14ac:dyDescent="0.25">
      <c r="B73" s="2">
        <v>66</v>
      </c>
      <c r="C73" s="9"/>
      <c r="D73" s="10"/>
      <c r="E73" s="10"/>
      <c r="F73" s="3" t="str">
        <f t="shared" ref="F73:F111" si="2">IF(C73 &lt;&gt; "","SN: " &amp;D73 &amp; ", " &amp;"QTY: " &amp;E73, "")</f>
        <v/>
      </c>
      <c r="G73" s="12"/>
      <c r="H73" s="12"/>
      <c r="I73" s="12"/>
    </row>
    <row r="74" spans="2:9" x14ac:dyDescent="0.25">
      <c r="B74" s="2">
        <v>67</v>
      </c>
      <c r="C74" s="9"/>
      <c r="D74" s="10"/>
      <c r="E74" s="10"/>
      <c r="F74" s="3" t="str">
        <f t="shared" si="2"/>
        <v/>
      </c>
      <c r="G74" s="12"/>
      <c r="H74" s="12"/>
      <c r="I74" s="12"/>
    </row>
    <row r="75" spans="2:9" x14ac:dyDescent="0.25">
      <c r="B75" s="2">
        <v>68</v>
      </c>
      <c r="C75" s="9"/>
      <c r="D75" s="10"/>
      <c r="E75" s="10"/>
      <c r="F75" s="3" t="str">
        <f t="shared" si="2"/>
        <v/>
      </c>
      <c r="G75" s="12"/>
      <c r="H75" s="12"/>
      <c r="I75" s="12"/>
    </row>
    <row r="76" spans="2:9" x14ac:dyDescent="0.25">
      <c r="B76" s="2">
        <v>69</v>
      </c>
      <c r="C76" s="9"/>
      <c r="D76" s="10"/>
      <c r="E76" s="10"/>
      <c r="F76" s="3" t="str">
        <f t="shared" si="2"/>
        <v/>
      </c>
      <c r="G76" s="12"/>
      <c r="H76" s="12"/>
      <c r="I76" s="12"/>
    </row>
    <row r="77" spans="2:9" x14ac:dyDescent="0.25">
      <c r="B77" s="2">
        <v>70</v>
      </c>
      <c r="C77" s="9"/>
      <c r="D77" s="10"/>
      <c r="E77" s="10"/>
      <c r="F77" s="3" t="str">
        <f t="shared" si="2"/>
        <v/>
      </c>
      <c r="G77" s="12"/>
      <c r="H77" s="12"/>
      <c r="I77" s="12"/>
    </row>
    <row r="78" spans="2:9" x14ac:dyDescent="0.25">
      <c r="B78" s="2">
        <v>71</v>
      </c>
      <c r="C78" s="9"/>
      <c r="D78" s="10"/>
      <c r="E78" s="10"/>
      <c r="F78" s="3" t="str">
        <f t="shared" si="2"/>
        <v/>
      </c>
      <c r="G78" s="12"/>
      <c r="H78" s="12"/>
      <c r="I78" s="12"/>
    </row>
    <row r="79" spans="2:9" x14ac:dyDescent="0.25">
      <c r="B79" s="2">
        <v>72</v>
      </c>
      <c r="C79" s="9"/>
      <c r="D79" s="10"/>
      <c r="E79" s="10"/>
      <c r="F79" s="3" t="str">
        <f t="shared" si="2"/>
        <v/>
      </c>
      <c r="G79" s="12"/>
      <c r="H79" s="12"/>
      <c r="I79" s="12"/>
    </row>
    <row r="80" spans="2:9" x14ac:dyDescent="0.25">
      <c r="B80" s="2">
        <v>73</v>
      </c>
      <c r="C80" s="9"/>
      <c r="D80" s="10"/>
      <c r="E80" s="10"/>
      <c r="F80" s="3" t="str">
        <f t="shared" si="2"/>
        <v/>
      </c>
      <c r="G80" s="12"/>
      <c r="H80" s="12"/>
      <c r="I80" s="12"/>
    </row>
    <row r="81" spans="2:9" x14ac:dyDescent="0.25">
      <c r="B81" s="2">
        <v>74</v>
      </c>
      <c r="C81" s="9"/>
      <c r="D81" s="10"/>
      <c r="E81" s="10"/>
      <c r="F81" s="3" t="str">
        <f t="shared" si="2"/>
        <v/>
      </c>
      <c r="G81" s="12"/>
      <c r="H81" s="12"/>
      <c r="I81" s="12"/>
    </row>
    <row r="82" spans="2:9" x14ac:dyDescent="0.25">
      <c r="B82" s="2">
        <v>75</v>
      </c>
      <c r="C82" s="9"/>
      <c r="D82" s="10"/>
      <c r="E82" s="10"/>
      <c r="F82" s="3" t="str">
        <f t="shared" si="2"/>
        <v/>
      </c>
      <c r="G82" s="12"/>
      <c r="H82" s="12"/>
      <c r="I82" s="12"/>
    </row>
    <row r="83" spans="2:9" x14ac:dyDescent="0.25">
      <c r="B83" s="2">
        <v>76</v>
      </c>
      <c r="C83" s="9"/>
      <c r="D83" s="10"/>
      <c r="E83" s="10"/>
      <c r="F83" s="3" t="str">
        <f t="shared" si="2"/>
        <v/>
      </c>
      <c r="G83" s="12"/>
      <c r="H83" s="12"/>
      <c r="I83" s="12"/>
    </row>
    <row r="84" spans="2:9" x14ac:dyDescent="0.25">
      <c r="B84" s="2">
        <v>77</v>
      </c>
      <c r="C84" s="9"/>
      <c r="D84" s="10"/>
      <c r="E84" s="10"/>
      <c r="F84" s="3" t="str">
        <f t="shared" si="2"/>
        <v/>
      </c>
      <c r="G84" s="12"/>
      <c r="H84" s="12"/>
      <c r="I84" s="12"/>
    </row>
    <row r="85" spans="2:9" x14ac:dyDescent="0.25">
      <c r="B85" s="2">
        <v>78</v>
      </c>
      <c r="C85" s="9"/>
      <c r="D85" s="10"/>
      <c r="E85" s="10"/>
      <c r="F85" s="3" t="str">
        <f t="shared" si="2"/>
        <v/>
      </c>
      <c r="G85" s="12"/>
      <c r="H85" s="12"/>
      <c r="I85" s="12"/>
    </row>
    <row r="86" spans="2:9" x14ac:dyDescent="0.25">
      <c r="B86" s="2">
        <v>79</v>
      </c>
      <c r="C86" s="9"/>
      <c r="D86" s="10"/>
      <c r="E86" s="10"/>
      <c r="F86" s="3" t="str">
        <f t="shared" si="2"/>
        <v/>
      </c>
      <c r="G86" s="12"/>
      <c r="H86" s="12"/>
      <c r="I86" s="12"/>
    </row>
    <row r="87" spans="2:9" x14ac:dyDescent="0.25">
      <c r="B87" s="2">
        <v>80</v>
      </c>
      <c r="C87" s="9"/>
      <c r="D87" s="10"/>
      <c r="E87" s="10"/>
      <c r="F87" s="3" t="str">
        <f t="shared" si="2"/>
        <v/>
      </c>
      <c r="G87" s="12"/>
      <c r="H87" s="12"/>
      <c r="I87" s="12"/>
    </row>
    <row r="88" spans="2:9" x14ac:dyDescent="0.25">
      <c r="B88" s="2">
        <v>81</v>
      </c>
      <c r="C88" s="9"/>
      <c r="D88" s="10"/>
      <c r="E88" s="10"/>
      <c r="F88" s="3" t="str">
        <f t="shared" si="2"/>
        <v/>
      </c>
      <c r="G88" s="12"/>
      <c r="H88" s="12"/>
      <c r="I88" s="12"/>
    </row>
    <row r="89" spans="2:9" x14ac:dyDescent="0.25">
      <c r="B89" s="2">
        <v>82</v>
      </c>
      <c r="C89" s="9"/>
      <c r="D89" s="10"/>
      <c r="E89" s="10"/>
      <c r="F89" s="3" t="str">
        <f t="shared" si="2"/>
        <v/>
      </c>
      <c r="G89" s="12"/>
      <c r="H89" s="12"/>
      <c r="I89" s="12"/>
    </row>
    <row r="90" spans="2:9" x14ac:dyDescent="0.25">
      <c r="B90" s="2">
        <v>83</v>
      </c>
      <c r="C90" s="9"/>
      <c r="D90" s="10"/>
      <c r="E90" s="10"/>
      <c r="F90" s="3" t="str">
        <f t="shared" si="2"/>
        <v/>
      </c>
      <c r="G90" s="12"/>
      <c r="H90" s="12"/>
      <c r="I90" s="12"/>
    </row>
    <row r="91" spans="2:9" x14ac:dyDescent="0.25">
      <c r="B91" s="2">
        <v>84</v>
      </c>
      <c r="C91" s="9"/>
      <c r="D91" s="10"/>
      <c r="E91" s="10"/>
      <c r="F91" s="3" t="str">
        <f t="shared" si="2"/>
        <v/>
      </c>
      <c r="G91" s="12"/>
      <c r="H91" s="12"/>
      <c r="I91" s="12"/>
    </row>
    <row r="92" spans="2:9" x14ac:dyDescent="0.25">
      <c r="B92" s="2">
        <v>85</v>
      </c>
      <c r="C92" s="9"/>
      <c r="D92" s="10"/>
      <c r="E92" s="10"/>
      <c r="F92" s="3" t="str">
        <f t="shared" si="2"/>
        <v/>
      </c>
      <c r="G92" s="12"/>
      <c r="H92" s="12"/>
      <c r="I92" s="12"/>
    </row>
    <row r="93" spans="2:9" x14ac:dyDescent="0.25">
      <c r="B93" s="2">
        <v>86</v>
      </c>
      <c r="C93" s="9"/>
      <c r="D93" s="10"/>
      <c r="E93" s="10"/>
      <c r="F93" s="3" t="str">
        <f t="shared" si="2"/>
        <v/>
      </c>
      <c r="G93" s="12"/>
      <c r="H93" s="12"/>
      <c r="I93" s="12"/>
    </row>
    <row r="94" spans="2:9" x14ac:dyDescent="0.25">
      <c r="B94" s="2">
        <v>87</v>
      </c>
      <c r="C94" s="9"/>
      <c r="D94" s="10"/>
      <c r="E94" s="10"/>
      <c r="F94" s="3" t="str">
        <f t="shared" si="2"/>
        <v/>
      </c>
      <c r="G94" s="12"/>
      <c r="H94" s="12"/>
      <c r="I94" s="12"/>
    </row>
    <row r="95" spans="2:9" x14ac:dyDescent="0.25">
      <c r="B95" s="2">
        <v>88</v>
      </c>
      <c r="C95" s="9"/>
      <c r="D95" s="10"/>
      <c r="E95" s="10"/>
      <c r="F95" s="3" t="str">
        <f t="shared" si="2"/>
        <v/>
      </c>
      <c r="G95" s="12"/>
      <c r="H95" s="12"/>
      <c r="I95" s="12"/>
    </row>
    <row r="96" spans="2:9" x14ac:dyDescent="0.25">
      <c r="B96" s="2">
        <v>89</v>
      </c>
      <c r="C96" s="9"/>
      <c r="D96" s="10"/>
      <c r="E96" s="10"/>
      <c r="F96" s="3" t="str">
        <f t="shared" si="2"/>
        <v/>
      </c>
      <c r="G96" s="12"/>
      <c r="H96" s="12"/>
      <c r="I96" s="12"/>
    </row>
    <row r="97" spans="2:9" x14ac:dyDescent="0.25">
      <c r="B97" s="2">
        <v>90</v>
      </c>
      <c r="C97" s="9"/>
      <c r="D97" s="10"/>
      <c r="E97" s="10"/>
      <c r="F97" s="3" t="str">
        <f t="shared" si="2"/>
        <v/>
      </c>
      <c r="G97" s="12"/>
      <c r="H97" s="12"/>
      <c r="I97" s="12"/>
    </row>
    <row r="98" spans="2:9" x14ac:dyDescent="0.25">
      <c r="B98" s="2">
        <v>91</v>
      </c>
      <c r="C98" s="9"/>
      <c r="D98" s="10"/>
      <c r="E98" s="10"/>
      <c r="F98" s="3" t="str">
        <f t="shared" si="2"/>
        <v/>
      </c>
      <c r="G98" s="12"/>
      <c r="H98" s="12"/>
      <c r="I98" s="12"/>
    </row>
    <row r="99" spans="2:9" x14ac:dyDescent="0.25">
      <c r="B99" s="2">
        <v>92</v>
      </c>
      <c r="C99" s="9"/>
      <c r="D99" s="10"/>
      <c r="E99" s="10"/>
      <c r="F99" s="3" t="str">
        <f t="shared" si="2"/>
        <v/>
      </c>
      <c r="G99" s="12"/>
      <c r="H99" s="12"/>
      <c r="I99" s="12"/>
    </row>
    <row r="100" spans="2:9" x14ac:dyDescent="0.25">
      <c r="B100" s="2">
        <v>93</v>
      </c>
      <c r="C100" s="9"/>
      <c r="D100" s="10"/>
      <c r="E100" s="10"/>
      <c r="F100" s="3" t="str">
        <f t="shared" si="2"/>
        <v/>
      </c>
      <c r="G100" s="12"/>
      <c r="H100" s="12"/>
      <c r="I100" s="12"/>
    </row>
    <row r="101" spans="2:9" x14ac:dyDescent="0.25">
      <c r="B101" s="2">
        <v>94</v>
      </c>
      <c r="C101" s="9"/>
      <c r="D101" s="10"/>
      <c r="E101" s="10"/>
      <c r="F101" s="3" t="str">
        <f t="shared" si="2"/>
        <v/>
      </c>
      <c r="G101" s="12"/>
      <c r="H101" s="12"/>
      <c r="I101" s="12"/>
    </row>
    <row r="102" spans="2:9" x14ac:dyDescent="0.25">
      <c r="B102" s="2">
        <v>95</v>
      </c>
      <c r="C102" s="9"/>
      <c r="D102" s="10"/>
      <c r="E102" s="10"/>
      <c r="F102" s="3" t="str">
        <f t="shared" si="2"/>
        <v/>
      </c>
      <c r="G102" s="12"/>
      <c r="H102" s="12"/>
      <c r="I102" s="12"/>
    </row>
    <row r="103" spans="2:9" x14ac:dyDescent="0.25">
      <c r="B103" s="2">
        <v>96</v>
      </c>
      <c r="C103" s="9"/>
      <c r="D103" s="10"/>
      <c r="E103" s="10"/>
      <c r="F103" s="3" t="str">
        <f t="shared" si="2"/>
        <v/>
      </c>
      <c r="G103" s="12"/>
      <c r="H103" s="12"/>
      <c r="I103" s="12"/>
    </row>
    <row r="104" spans="2:9" x14ac:dyDescent="0.25">
      <c r="B104" s="2">
        <v>97</v>
      </c>
      <c r="C104" s="9"/>
      <c r="D104" s="10"/>
      <c r="E104" s="10"/>
      <c r="F104" s="3" t="str">
        <f t="shared" si="2"/>
        <v/>
      </c>
      <c r="G104" s="12"/>
      <c r="H104" s="12"/>
      <c r="I104" s="12"/>
    </row>
    <row r="105" spans="2:9" x14ac:dyDescent="0.25">
      <c r="B105" s="2">
        <v>98</v>
      </c>
      <c r="C105" s="9"/>
      <c r="D105" s="10"/>
      <c r="E105" s="10"/>
      <c r="F105" s="3" t="str">
        <f t="shared" si="2"/>
        <v/>
      </c>
      <c r="G105" s="12"/>
      <c r="H105" s="12"/>
      <c r="I105" s="12"/>
    </row>
    <row r="106" spans="2:9" x14ac:dyDescent="0.25">
      <c r="B106" s="2">
        <v>99</v>
      </c>
      <c r="C106" s="9"/>
      <c r="D106" s="10"/>
      <c r="E106" s="10"/>
      <c r="F106" s="3" t="str">
        <f t="shared" si="2"/>
        <v/>
      </c>
      <c r="G106" s="12"/>
      <c r="H106" s="12"/>
      <c r="I106" s="12"/>
    </row>
    <row r="107" spans="2:9" x14ac:dyDescent="0.25">
      <c r="B107" s="2">
        <v>100</v>
      </c>
      <c r="C107" s="9" t="s">
        <v>63</v>
      </c>
      <c r="D107" s="10">
        <v>19078</v>
      </c>
      <c r="E107" s="10">
        <v>1</v>
      </c>
      <c r="F107" s="3" t="str">
        <f t="shared" si="2"/>
        <v>SN: 19078, QTY: 1</v>
      </c>
      <c r="G107" s="12"/>
      <c r="H107" s="12"/>
      <c r="I107" s="12"/>
    </row>
    <row r="108" spans="2:9" x14ac:dyDescent="0.25">
      <c r="B108" s="2">
        <v>101</v>
      </c>
      <c r="C108" s="9"/>
      <c r="D108" s="10"/>
      <c r="E108" s="10"/>
      <c r="F108" s="3" t="str">
        <f t="shared" si="2"/>
        <v/>
      </c>
      <c r="G108" s="12"/>
      <c r="H108" s="12"/>
      <c r="I108" s="12"/>
    </row>
    <row r="109" spans="2:9" x14ac:dyDescent="0.25">
      <c r="B109" s="2">
        <v>102</v>
      </c>
      <c r="C109" s="9"/>
      <c r="D109" s="10"/>
      <c r="E109" s="10"/>
      <c r="F109" s="3" t="str">
        <f t="shared" si="2"/>
        <v/>
      </c>
      <c r="G109" s="12"/>
      <c r="H109" s="12"/>
      <c r="I109" s="12"/>
    </row>
    <row r="110" spans="2:9" x14ac:dyDescent="0.25">
      <c r="B110" s="2">
        <v>103</v>
      </c>
      <c r="C110" s="9"/>
      <c r="D110" s="10"/>
      <c r="E110" s="10"/>
      <c r="F110" s="3" t="str">
        <f t="shared" si="2"/>
        <v/>
      </c>
      <c r="G110" s="12"/>
      <c r="H110" s="12"/>
      <c r="I110" s="12"/>
    </row>
    <row r="111" spans="2:9" x14ac:dyDescent="0.25">
      <c r="B111" s="2">
        <v>104</v>
      </c>
      <c r="C111" s="9"/>
      <c r="D111" s="10"/>
      <c r="E111" s="10"/>
      <c r="F111" s="3" t="str">
        <f t="shared" si="2"/>
        <v/>
      </c>
      <c r="G111" s="12"/>
      <c r="H111" s="12"/>
      <c r="I111" s="12"/>
    </row>
  </sheetData>
  <mergeCells count="7">
    <mergeCell ref="G10:I11"/>
    <mergeCell ref="A2:B2"/>
    <mergeCell ref="A3:B3"/>
    <mergeCell ref="D3:H3"/>
    <mergeCell ref="D2:H2"/>
    <mergeCell ref="C5:I5"/>
    <mergeCell ref="G6:I6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</vt:lpstr>
      <vt:lpstr>Data</vt:lpstr>
    </vt:vector>
  </TitlesOfParts>
  <Company>US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Rau, Kenneth J 1LT MIL USA FORSCOM</dc:creator>
  <cp:lastModifiedBy>Rau, Kenneth J 1LT MIL USA FORSCOM</cp:lastModifiedBy>
  <dcterms:created xsi:type="dcterms:W3CDTF">2022-03-13T14:28:28Z</dcterms:created>
  <dcterms:modified xsi:type="dcterms:W3CDTF">2022-03-13T23:40:24Z</dcterms:modified>
</cp:coreProperties>
</file>